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abhisheksharma/Downloads/"/>
    </mc:Choice>
  </mc:AlternateContent>
  <xr:revisionPtr revIDLastSave="0" documentId="13_ncr:1_{AFA6743D-BCAE-8A41-B7FE-8A778D33CD2C}" xr6:coauthVersionLast="47" xr6:coauthVersionMax="47" xr10:uidLastSave="{00000000-0000-0000-0000-000000000000}"/>
  <bookViews>
    <workbookView xWindow="0" yWindow="500" windowWidth="33600" windowHeight="19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2" i="19"/>
  <c r="C30" i="18"/>
  <c r="D30" i="18"/>
  <c r="E30" i="18"/>
  <c r="F30" i="18"/>
  <c r="B30" i="18"/>
  <c r="C29" i="18"/>
  <c r="D29" i="18"/>
  <c r="E29" i="18"/>
  <c r="F29" i="18"/>
  <c r="B29" i="18"/>
  <c r="E28" i="18"/>
  <c r="F28" i="18"/>
  <c r="D28" i="18"/>
  <c r="C28" i="18"/>
  <c r="B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I43" i="1"/>
</calcChain>
</file>

<file path=xl/sharedStrings.xml><?xml version="1.0" encoding="utf-8"?>
<sst xmlns="http://schemas.openxmlformats.org/spreadsheetml/2006/main" count="432" uniqueCount="209">
  <si>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</si>
  <si>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</si>
  <si>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</si>
  <si>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</si>
  <si>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</si>
  <si>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</si>
  <si>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</si>
  <si>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</si>
  <si>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</si>
  <si>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</si>
  <si>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</si>
  <si>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</si>
  <si>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</si>
  <si>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</si>
  <si>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</si>
  <si>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</si>
  <si>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</si>
  <si>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</si>
  <si>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</si>
  <si>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</si>
  <si>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</si>
  <si>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</si>
  <si>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</si>
  <si>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</si>
  <si>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</si>
  <si>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</si>
  <si>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</si>
  <si>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</si>
  <si>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</si>
  <si>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</si>
  <si>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</si>
  <si>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</si>
  <si>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</si>
  <si>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</si>
  <si>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</si>
  <si>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</si>
  <si>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</si>
  <si>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</si>
  <si>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</si>
  <si>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</si>
  <si>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</si>
  <si>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</si>
  <si>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</si>
  <si>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</si>
  <si>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</si>
  <si>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</si>
  <si>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</si>
  <si>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</si>
  <si>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</si>
  <si>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</si>
  <si>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</si>
  <si>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</si>
  <si>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</si>
  <si>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</si>
  <si>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</si>
  <si>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</si>
  <si>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</si>
  <si>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</si>
  <si>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</si>
  <si>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</si>
  <si>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</si>
  <si>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</si>
  <si>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</si>
  <si>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</si>
  <si>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</si>
  <si>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</si>
  <si>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</si>
  <si>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</si>
  <si>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</si>
  <si>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</si>
  <si>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</si>
  <si>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</si>
  <si>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</si>
  <si>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</si>
  <si>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</si>
  <si>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</si>
  <si>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</si>
  <si>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</si>
  <si>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</si>
  <si>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</si>
  <si>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</si>
  <si>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</si>
  <si>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</si>
  <si>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</si>
  <si>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</si>
  <si>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</si>
  <si>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</si>
  <si>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</si>
  <si>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</si>
  <si>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</si>
  <si>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</si>
  <si>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</si>
  <si>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</si>
  <si>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</si>
  <si>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</si>
  <si>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</si>
  <si>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</si>
  <si>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</si>
  <si>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</si>
  <si>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</si>
  <si>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</si>
  <si>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</si>
  <si>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</si>
  <si>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</si>
  <si>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</si>
  <si>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</si>
  <si>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</si>
  <si>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</si>
  <si>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</si>
  <si>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</si>
  <si>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</si>
  <si>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20000-Monday-0-Sunday-24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</si>
  <si>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</si>
  <si>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</si>
  <si>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</si>
  <si>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</si>
  <si>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</si>
  <si>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</si>
  <si>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</si>
  <si>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</si>
  <si>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</si>
  <si>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</si>
  <si>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</si>
  <si>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</si>
  <si>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</si>
  <si>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</si>
  <si>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</si>
  <si>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</si>
  <si>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</si>
  <si>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</si>
  <si>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</si>
  <si>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</si>
  <si>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</si>
  <si>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</si>
  <si>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</si>
  <si>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</si>
  <si>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</si>
  <si>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</si>
  <si>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</si>
  <si>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20000-Monday-0-Sunday-25</t>
  </si>
  <si>
    <t>20000-Monday-0-Sunday-26</t>
  </si>
  <si>
    <t>20000-Monday-0-Sunday-27</t>
  </si>
  <si>
    <t>20000-Monday-0-Sunday-28</t>
  </si>
  <si>
    <t>20000-Monday-0-Sunday-29</t>
  </si>
  <si>
    <t>20000-Monday-0-Sunday-30</t>
  </si>
  <si>
    <t>20000-Monday-0-Sunday-31</t>
  </si>
  <si>
    <t>20000-Monday-0-Sunday-32</t>
  </si>
  <si>
    <t>20000-Monday-0-Sunday-33</t>
  </si>
  <si>
    <t>20000-Monday-0-Sunday-34</t>
  </si>
  <si>
    <t>20000-Monday-0-Sunday-35</t>
  </si>
  <si>
    <t>20000-Monday-0-Sunday-36</t>
  </si>
  <si>
    <t>20000-Monday-0-Sunday-37</t>
  </si>
  <si>
    <t>20000-Monday-0-Sunday-38</t>
  </si>
  <si>
    <t>20000-Monday-0-Sunday-39</t>
  </si>
  <si>
    <t>20000-Monday-0-Sunday-40</t>
  </si>
  <si>
    <t>20000-Monday-0-Sunday-41</t>
  </si>
  <si>
    <t>20000-Monday-0-Sunday-42</t>
  </si>
  <si>
    <t>20000-Monday-0-Sunday-43</t>
  </si>
  <si>
    <t>20000-Monday-0-Sunday-44</t>
  </si>
  <si>
    <t>20000-Monday-0-Sunday-45</t>
  </si>
  <si>
    <t>20000-Monday-0-Sunday-46</t>
  </si>
  <si>
    <t>20000-Monday-0-Sunday-47</t>
  </si>
  <si>
    <t>20000-Monday-0-Sunday-48</t>
  </si>
  <si>
    <t>20000-Monday-0-Sunday-49</t>
  </si>
  <si>
    <t>20000-Monday-0-Sunday-50</t>
  </si>
  <si>
    <t>20000-Monday-0-Sunday-51</t>
  </si>
  <si>
    <t>20000-Monday-0-Sunday-52</t>
  </si>
  <si>
    <t>20000-Monday-0-Sunday-53</t>
  </si>
  <si>
    <t>20000-Monday-0-Sunday-54</t>
  </si>
  <si>
    <t>20000-Monday-0-Sunday-55</t>
  </si>
  <si>
    <t>20000-Monday-0-Sunday-56</t>
  </si>
  <si>
    <t>20000-Monday-0-Sunday-57</t>
  </si>
  <si>
    <t>20000-Monday-0-Sunday-58</t>
  </si>
  <si>
    <t>20000-Monday-0-Sunday-59</t>
  </si>
  <si>
    <t>20000-Monday-0-Sunday-60</t>
  </si>
  <si>
    <t>20000-Monday-0-Sunday-61</t>
  </si>
  <si>
    <t>20000-Monday-0-Sunday-62</t>
  </si>
  <si>
    <r>
      <t xml:space="preserve">First VLOOKUP -- This looks up name_1 in Table_B (range </t>
    </r>
    <r>
      <rPr>
        <sz val="10"/>
        <color rgb="FF000000"/>
        <rFont val="Courier New"/>
        <family val="1"/>
      </rPr>
      <t>$M$10:$N$18</t>
    </r>
    <r>
      <rPr>
        <sz val="12"/>
        <color rgb="FF000000"/>
        <rFont val="Times New Roman"/>
        <family val="1"/>
      </rPr>
      <t>) and returns the corresponding letter (e.g., A, B, etc.).</t>
    </r>
  </si>
  <si>
    <r>
      <t xml:space="preserve">Second VLOOKUP -- This looks up name_2 in Table_B (range </t>
    </r>
    <r>
      <rPr>
        <sz val="10"/>
        <color rgb="FF000000"/>
        <rFont val="Courier New"/>
        <family val="1"/>
      </rPr>
      <t>$M$10:$N$18</t>
    </r>
    <r>
      <rPr>
        <sz val="12"/>
        <color rgb="FF000000"/>
        <rFont val="Times New Roman"/>
        <family val="1"/>
      </rPr>
      <t>) and returns the corresponding letter.</t>
    </r>
  </si>
  <si>
    <t>MATCH for Row  -- This finds the row in Table_A where name_1 matches the lookup result.</t>
  </si>
  <si>
    <t>MATCH for Column -- This finds the column in Table_A where name_2 matches the lookup result.</t>
  </si>
  <si>
    <t>INDEX -- This returns the intersecting value in Table_A based on the matched row and column.</t>
  </si>
  <si>
    <t>IFERROR -- Ensures that if there’s an error (e.g., no match found), it returns an empty string.</t>
  </si>
  <si>
    <t>FORMULA USED :  IFERROR(INDEX($B$10:$J$18, MATCH(VLOOKUP(A23, $M$10:$N$18, 2, FALSE), $A$10:$A$18, 0), MATCH(VLOOKUP(B23, $M$10:$N$18, 2, FALSE), $B$9:$J$9, 0)), "")</t>
  </si>
  <si>
    <t>EXPLAINATION FOR APPROACH USED:</t>
  </si>
  <si>
    <t>IFERROR(INDEX($B$10:$J$18, MATCH(VLOOKUP(A23, $M$10:$N$18, 2, FALSE), $A$10:$A$18, 0), MATCH(VLOOKUP(B23, $M$10:$N$18, 2, FALSE), $B$9:$J$9, 0)), "")</t>
  </si>
  <si>
    <t>name_1 from Table_C to look up the corresponding row in Table_A (via Table_B).</t>
  </si>
  <si>
    <t>name_2 (second ID) from Table_C to look up the corresponding column in Table_A (via Table_B).</t>
  </si>
  <si>
    <t>Return the intersecting value from Table_A.</t>
  </si>
  <si>
    <t>For each row in Table_C:</t>
  </si>
  <si>
    <t>PLEASE REFER TO SPACE ADJACENT TO TABLE_C</t>
  </si>
  <si>
    <t>Find and Replace and Formula is SUM(C12:C21)</t>
  </si>
  <si>
    <t>Refer below</t>
  </si>
  <si>
    <t>Formula/Functionality Used:</t>
  </si>
  <si>
    <t>SUM Function:</t>
  </si>
  <si>
    <t xml:space="preserve">This adds up all the sales values in the specified range </t>
  </si>
  <si>
    <r>
      <t>Find and Replace: Used Find and Replace (</t>
    </r>
    <r>
      <rPr>
        <sz val="14"/>
        <color rgb="FF000000"/>
        <rFont val="Courier New"/>
        <family val="1"/>
      </rPr>
      <t>Ctrl + H</t>
    </r>
    <r>
      <rPr>
        <sz val="14"/>
        <color rgb="FF000000"/>
        <rFont val="Times New Roman"/>
        <family val="1"/>
      </rPr>
      <t xml:space="preserve">) to replace all </t>
    </r>
    <r>
      <rPr>
        <sz val="14"/>
        <color rgb="FF000000"/>
        <rFont val="Courier New"/>
        <family val="1"/>
      </rPr>
      <t>#N/A</t>
    </r>
    <r>
      <rPr>
        <sz val="14"/>
        <color rgb="FF000000"/>
        <rFont val="Times New Roman"/>
        <family val="1"/>
      </rPr>
      <t xml:space="preserve"> values in the sales column with </t>
    </r>
    <r>
      <rPr>
        <sz val="14"/>
        <color rgb="FF000000"/>
        <rFont val="Courier New"/>
        <family val="1"/>
      </rPr>
      <t>20</t>
    </r>
    <r>
      <rPr>
        <sz val="14"/>
        <color rgb="FF000000"/>
        <rFont val="Times New Roman"/>
        <family val="1"/>
      </rPr>
      <t>.</t>
    </r>
  </si>
  <si>
    <r>
      <t xml:space="preserve">Find: </t>
    </r>
    <r>
      <rPr>
        <sz val="14"/>
        <color rgb="FF000000"/>
        <rFont val="Courier New"/>
        <family val="1"/>
      </rPr>
      <t>#N/A</t>
    </r>
  </si>
  <si>
    <r>
      <t xml:space="preserve">Replace: </t>
    </r>
    <r>
      <rPr>
        <sz val="14"/>
        <color rgb="FF000000"/>
        <rFont val="Courier New"/>
        <family val="1"/>
      </rPr>
      <t>0</t>
    </r>
  </si>
  <si>
    <r>
      <t xml:space="preserve">Used the SUM formula to calculate the total sales after replacing the </t>
    </r>
    <r>
      <rPr>
        <sz val="14"/>
        <color rgb="FF000000"/>
        <rFont val="Courier New"/>
        <family val="1"/>
      </rPr>
      <t>#N/A</t>
    </r>
    <r>
      <rPr>
        <sz val="14"/>
        <color rgb="FF000000"/>
        <rFont val="Times New Roman"/>
        <family val="1"/>
      </rPr>
      <t xml:space="preserve"> values:</t>
    </r>
  </si>
  <si>
    <t>SUM(C10:C19)</t>
  </si>
  <si>
    <r>
      <t xml:space="preserve">Explaination: Replaced all </t>
    </r>
    <r>
      <rPr>
        <sz val="14"/>
        <color rgb="FF000000"/>
        <rFont val="Courier New"/>
        <family val="1"/>
      </rPr>
      <t>#N/A</t>
    </r>
    <r>
      <rPr>
        <sz val="14"/>
        <color rgb="FF000000"/>
        <rFont val="Times New Roman"/>
        <family val="1"/>
      </rPr>
      <t xml:space="preserve"> values with 2</t>
    </r>
    <r>
      <rPr>
        <sz val="14"/>
        <color rgb="FF000000"/>
        <rFont val="Courier New"/>
        <family val="1"/>
      </rPr>
      <t>0</t>
    </r>
    <r>
      <rPr>
        <sz val="14"/>
        <color rgb="FF000000"/>
        <rFont val="Times New Roman"/>
        <family val="1"/>
      </rPr>
      <t xml:space="preserve"> and calculate the sum of the sales.</t>
    </r>
  </si>
  <si>
    <t>Text to Columns</t>
  </si>
  <si>
    <t>This split each combined value into multiple columns, with each part placed into its corresponding cell.</t>
  </si>
  <si>
    <t>Explaination:</t>
  </si>
  <si>
    <t>Text to Columns:</t>
  </si>
  <si>
    <r>
      <t xml:space="preserve">Applied the Text to Columns feature, found under the Data tab, to separate the values in Table_A based on a delimiter (hyphen </t>
    </r>
    <r>
      <rPr>
        <sz val="10"/>
        <color rgb="FF000000"/>
        <rFont val="Courier New"/>
        <family val="1"/>
      </rPr>
      <t>-</t>
    </r>
    <r>
      <rPr>
        <sz val="12"/>
        <color rgb="FF000000"/>
        <rFont val="Times New Roman"/>
        <family val="1"/>
      </rPr>
      <t>) and selecting the cells in 5 new columns</t>
    </r>
  </si>
  <si>
    <t>Refer Below adjacent to table A</t>
  </si>
  <si>
    <t>SUMIF(H:H,"&gt;20")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</si>
</sst>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25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000000"/>
      <name val="Times New Roman"/>
      <family val="1"/>
    </font>
    <font>
      <sz val="10"/>
      <color rgb="FF000000"/>
      <name val="Courier New"/>
      <family val="1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.5"/>
      <color rgb="FF000000"/>
      <name val="Times New Roman"/>
      <family val="1"/>
    </font>
    <font>
      <sz val="14"/>
      <color rgb="FF000000"/>
      <name val="Times New Roman"/>
      <family val="1"/>
    </font>
    <font>
      <sz val="14"/>
      <color rgb="FF000000"/>
      <name val="Courier New"/>
      <family val="1"/>
    </font>
  </fonts>
  <fills count="8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6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2" fillId="0" borderId="0" xfId="0" applyFont="1"/>
    <xf numFmtId="165" fontId="7" fillId="0" borderId="0" xfId="0" applyNumberFormat="1" applyFont="1"/>
    <xf numFmtId="165" fontId="3" fillId="0" borderId="0" xfId="0" applyNumberFormat="1" applyFont="1"/>
    <xf numFmtId="0" fontId="18" fillId="6" borderId="0" xfId="0" applyFont="1" applyFill="1" applyAlignment="1">
      <alignment vertical="center"/>
    </xf>
    <xf numFmtId="0" fontId="8" fillId="6" borderId="0" xfId="0" applyFont="1" applyFill="1"/>
    <xf numFmtId="0" fontId="18" fillId="7" borderId="0" xfId="0" applyFont="1" applyFill="1" applyAlignment="1">
      <alignment vertical="center"/>
    </xf>
    <xf numFmtId="0" fontId="8" fillId="7" borderId="0" xfId="0" applyFont="1" applyFill="1"/>
    <xf numFmtId="0" fontId="20" fillId="6" borderId="0" xfId="0" applyFont="1" applyFill="1"/>
    <xf numFmtId="0" fontId="21" fillId="6" borderId="0" xfId="0" applyFont="1" applyFill="1"/>
    <xf numFmtId="0" fontId="18" fillId="6" borderId="0" xfId="0" applyFont="1" applyFill="1" applyAlignment="1">
      <alignment horizontal="left" vertical="top"/>
    </xf>
    <xf numFmtId="0" fontId="20" fillId="6" borderId="0" xfId="0" applyFont="1" applyFill="1" applyAlignment="1">
      <alignment horizontal="left" vertical="top"/>
    </xf>
    <xf numFmtId="0" fontId="20" fillId="6" borderId="0" xfId="0" applyFont="1" applyFill="1" applyAlignment="1">
      <alignment horizontal="center"/>
    </xf>
    <xf numFmtId="0" fontId="18" fillId="6" borderId="0" xfId="0" applyFont="1" applyFill="1"/>
    <xf numFmtId="0" fontId="22" fillId="6" borderId="0" xfId="0" applyFont="1" applyFill="1" applyAlignment="1">
      <alignment vertical="center"/>
    </xf>
    <xf numFmtId="0" fontId="23" fillId="6" borderId="0" xfId="0" applyFont="1" applyFill="1" applyAlignment="1">
      <alignment vertical="center"/>
    </xf>
    <xf numFmtId="0" fontId="15" fillId="6" borderId="0" xfId="0" applyFont="1" applyFill="1" applyAlignment="1"/>
    <xf numFmtId="0" fontId="24" fillId="6" borderId="0" xfId="0" applyFont="1" applyFill="1" applyAlignment="1">
      <alignment vertical="center"/>
    </xf>
    <xf numFmtId="0" fontId="3" fillId="6" borderId="0" xfId="0" applyFont="1" applyFill="1"/>
    <xf numFmtId="0" fontId="15" fillId="6" borderId="0" xfId="0" applyFont="1" applyFill="1"/>
    <xf numFmtId="0" fontId="14" fillId="6" borderId="0" xfId="0" applyFont="1" applyFill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ont>
        <color rgb="FF92D050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baseColWidth="10" defaultRowHeight="14" x14ac:dyDescent="0.2"/>
  <cols>
    <col min="1" max="1" width="70.796875" style="2" bestFit="1" customWidth="1"/>
    <col min="2" max="16384" width="11" style="2"/>
  </cols>
  <sheetData>
    <row r="1" spans="1:3" ht="19" x14ac:dyDescent="0.25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">
      <c r="A4" s="2" t="s">
        <v>138</v>
      </c>
      <c r="C4" s="1"/>
    </row>
    <row r="5" spans="1:3" x14ac:dyDescent="0.2">
      <c r="A5" s="2" t="s">
        <v>113</v>
      </c>
    </row>
    <row r="8" spans="1:3" x14ac:dyDescent="0.2">
      <c r="A8" s="2" t="s">
        <v>134</v>
      </c>
    </row>
    <row r="9" spans="1:3" x14ac:dyDescent="0.2">
      <c r="A9" s="35" t="s">
        <v>132</v>
      </c>
      <c r="B9" s="26" t="s">
        <v>130</v>
      </c>
    </row>
    <row r="10" spans="1:3" x14ac:dyDescent="0.2">
      <c r="A10" s="34" t="s">
        <v>133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131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3"/>
  <sheetViews>
    <sheetView zoomScale="75" zoomScaleNormal="41" workbookViewId="0">
      <pane ySplit="1" topLeftCell="A2" activePane="bottomLeft" state="frozen"/>
      <selection pane="bottomLeft" activeCell="I43" sqref="I43"/>
    </sheetView>
  </sheetViews>
  <sheetFormatPr baseColWidth="10" defaultColWidth="9" defaultRowHeight="15" x14ac:dyDescent="0.2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25" style="46" customWidth="1"/>
    <col min="25" max="16384" width="9" style="1"/>
  </cols>
  <sheetData>
    <row r="1" spans="1:24" s="3" customFormat="1" ht="14.75" customHeight="1" x14ac:dyDescent="0.2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2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2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2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2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2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2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2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2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2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2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2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2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2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2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2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2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2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2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2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2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2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2">
      <c r="H41" s="44"/>
    </row>
    <row r="43" spans="1:24" x14ac:dyDescent="0.2">
      <c r="I43" s="1">
        <f>SUMIF(H:H,"&gt;20")</f>
        <v>1473.0000000000002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L17">
    <cfRule type="cellIs" dxfId="2" priority="3" operator="equal">
      <formula>-1</formula>
    </cfRule>
  </conditionalFormatting>
  <conditionalFormatting sqref="A1:X40">
    <cfRule type="cellIs" dxfId="1" priority="2" operator="equal">
      <formula>-1</formula>
    </cfRule>
  </conditionalFormatting>
  <conditionalFormatting sqref="G1:W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pane ySplit="1" topLeftCell="A2" activePane="bottomLeft" state="frozen"/>
      <selection pane="bottomLeft" activeCell="C22" sqref="C22"/>
    </sheetView>
  </sheetViews>
  <sheetFormatPr baseColWidth="10" defaultRowHeight="15" x14ac:dyDescent="0.2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2">
      <c r="A1" s="4" t="s">
        <v>47</v>
      </c>
      <c r="B1" s="4" t="s">
        <v>48</v>
      </c>
      <c r="C1" s="4" t="s">
        <v>44</v>
      </c>
      <c r="E1" s="4" t="s">
        <v>137</v>
      </c>
    </row>
    <row r="2" spans="1:5" x14ac:dyDescent="0.2">
      <c r="A2" s="2"/>
      <c r="B2" s="5" t="s">
        <v>121</v>
      </c>
      <c r="C2" s="2"/>
    </row>
    <row r="3" spans="1:5" x14ac:dyDescent="0.2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">
      <c r="A4" s="6">
        <v>2</v>
      </c>
      <c r="B4" s="2" t="s">
        <v>46</v>
      </c>
      <c r="C4" s="2"/>
      <c r="E4" s="1">
        <v>5</v>
      </c>
    </row>
    <row r="5" spans="1:5" x14ac:dyDescent="0.2">
      <c r="A5" s="6">
        <v>3</v>
      </c>
      <c r="B5" s="2" t="s">
        <v>104</v>
      </c>
      <c r="C5" s="63" t="s">
        <v>208</v>
      </c>
      <c r="E5" s="1">
        <v>10</v>
      </c>
    </row>
    <row r="6" spans="1:5" x14ac:dyDescent="0.2">
      <c r="A6" s="6">
        <v>4</v>
      </c>
      <c r="B6" s="2" t="s">
        <v>106</v>
      </c>
      <c r="C6" s="2"/>
      <c r="E6" s="1">
        <v>5</v>
      </c>
    </row>
    <row r="7" spans="1:5" x14ac:dyDescent="0.2">
      <c r="A7" s="2"/>
      <c r="B7" s="2"/>
      <c r="C7" s="2"/>
    </row>
    <row r="13" spans="1:5" x14ac:dyDescent="0.2">
      <c r="E13" s="2"/>
    </row>
    <row r="14" spans="1:5" x14ac:dyDescent="0.2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I29" sqref="I29"/>
    </sheetView>
  </sheetViews>
  <sheetFormatPr baseColWidth="10" defaultRowHeight="14" x14ac:dyDescent="0.2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25">
      <c r="A1" s="41" t="s">
        <v>55</v>
      </c>
      <c r="B1" s="40" t="s">
        <v>125</v>
      </c>
    </row>
    <row r="2" spans="1:7" s="40" customFormat="1" ht="21" x14ac:dyDescent="0.25">
      <c r="B2" s="40" t="s">
        <v>122</v>
      </c>
    </row>
    <row r="3" spans="1:7" ht="15" x14ac:dyDescent="0.2">
      <c r="A3" s="1"/>
      <c r="B3" s="1"/>
      <c r="C3" s="1"/>
      <c r="D3" s="1"/>
      <c r="E3" s="1"/>
      <c r="F3" s="1"/>
      <c r="G3" s="1"/>
    </row>
    <row r="4" spans="1:7" ht="24" x14ac:dyDescent="0.3">
      <c r="A4" s="18" t="s">
        <v>123</v>
      </c>
      <c r="B4" s="1"/>
      <c r="C4" s="1"/>
      <c r="D4" s="1"/>
      <c r="E4" s="1"/>
      <c r="F4" s="1"/>
      <c r="G4" s="1"/>
    </row>
    <row r="5" spans="1:7" ht="15" x14ac:dyDescent="0.2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">
      <c r="A6" s="7" t="s">
        <v>40</v>
      </c>
      <c r="B6" s="12">
        <f>INDEX(Dataset!G:G, MATCH(A6, Dataset!A:A, 0))</f>
        <v>2.7</v>
      </c>
      <c r="C6" s="12">
        <f>INDEX(Dataset!N:N, MATCH(A6, Dataset!A:A, 0))</f>
        <v>7.6</v>
      </c>
      <c r="D6" s="12">
        <f>INDEX(Dataset!R:R, MATCH(A6, Dataset!A:A, 0))</f>
        <v>4.2</v>
      </c>
      <c r="E6" s="12">
        <f>INDEX(Dataset!T:T, MATCH(A6, Dataset!A:A, 0))</f>
        <v>8.9</v>
      </c>
      <c r="F6" s="8">
        <f>INDEX(Dataset!V:V, MATCH(A6, Dataset!A:A, 0))</f>
        <v>4.2</v>
      </c>
    </row>
    <row r="7" spans="1:7" ht="15" x14ac:dyDescent="0.2">
      <c r="A7" s="7" t="s">
        <v>4</v>
      </c>
      <c r="B7" s="12">
        <f>INDEX(Dataset!G:G, MATCH(A7, Dataset!A:A, 0))</f>
        <v>2.7</v>
      </c>
      <c r="C7" s="12">
        <f>INDEX(Dataset!N:N, MATCH(A7, Dataset!A:A, 0))</f>
        <v>7.6</v>
      </c>
      <c r="D7" s="12">
        <f>INDEX(Dataset!R:R, MATCH(A7, Dataset!A:A, 0))</f>
        <v>4.2</v>
      </c>
      <c r="E7" s="12">
        <f>INDEX(Dataset!T:T, MATCH(A7, Dataset!A:A, 0))</f>
        <v>8.9</v>
      </c>
      <c r="F7" s="8">
        <f>INDEX(Dataset!V:V, MATCH(A7, Dataset!A:A, 0))</f>
        <v>4.2</v>
      </c>
    </row>
    <row r="8" spans="1:7" ht="15" x14ac:dyDescent="0.2">
      <c r="A8" s="7" t="s">
        <v>7</v>
      </c>
      <c r="B8" s="12">
        <f>INDEX(Dataset!G:G, MATCH(A8, Dataset!A:A, 0))</f>
        <v>3.6</v>
      </c>
      <c r="C8" s="12">
        <f>INDEX(Dataset!N:N, MATCH(A8, Dataset!A:A, 0))</f>
        <v>11.1</v>
      </c>
      <c r="D8" s="12">
        <f>INDEX(Dataset!R:R, MATCH(A8, Dataset!A:A, 0))</f>
        <v>5.8</v>
      </c>
      <c r="E8" s="12">
        <f>INDEX(Dataset!T:T, MATCH(A8, Dataset!A:A, 0))</f>
        <v>12.2</v>
      </c>
      <c r="F8" s="8">
        <f>INDEX(Dataset!V:V, MATCH(A8, Dataset!A:A, 0))</f>
        <v>5.8</v>
      </c>
    </row>
    <row r="9" spans="1:7" ht="15" x14ac:dyDescent="0.2">
      <c r="A9" s="7" t="s">
        <v>8</v>
      </c>
      <c r="B9" s="12">
        <f>INDEX(Dataset!G:G, MATCH(A9, Dataset!A:A, 0))</f>
        <v>4.9000000000000004</v>
      </c>
      <c r="C9" s="12">
        <f>INDEX(Dataset!N:N, MATCH(A9, Dataset!A:A, 0))</f>
        <v>13.3</v>
      </c>
      <c r="D9" s="12">
        <f>INDEX(Dataset!R:R, MATCH(A9, Dataset!A:A, 0))</f>
        <v>8.1</v>
      </c>
      <c r="E9" s="12">
        <f>INDEX(Dataset!T:T, MATCH(A9, Dataset!A:A, 0))</f>
        <v>17</v>
      </c>
      <c r="F9" s="8">
        <f>INDEX(Dataset!V:V, MATCH(A9, Dataset!A:A, 0))</f>
        <v>8.1</v>
      </c>
    </row>
    <row r="10" spans="1:7" ht="15" x14ac:dyDescent="0.2">
      <c r="A10" s="7" t="s">
        <v>11</v>
      </c>
      <c r="B10" s="12">
        <f>INDEX(Dataset!G:G, MATCH(A10, Dataset!A:A, 0))</f>
        <v>9.4</v>
      </c>
      <c r="C10" s="12">
        <f>INDEX(Dataset!N:N, MATCH(A10, Dataset!A:A, 0))</f>
        <v>28.3</v>
      </c>
      <c r="D10" s="12">
        <f>INDEX(Dataset!R:R, MATCH(A10, Dataset!A:A, 0))</f>
        <v>16.100000000000001</v>
      </c>
      <c r="E10" s="12">
        <f>INDEX(Dataset!T:T, MATCH(A10, Dataset!A:A, 0))</f>
        <v>32.799999999999997</v>
      </c>
      <c r="F10" s="8">
        <f>INDEX(Dataset!V:V, MATCH(A10, Dataset!A:A, 0))</f>
        <v>16.100000000000001</v>
      </c>
    </row>
    <row r="11" spans="1:7" ht="15" x14ac:dyDescent="0.2">
      <c r="A11" s="7" t="s">
        <v>12</v>
      </c>
      <c r="B11" s="12">
        <f>INDEX(Dataset!G:G, MATCH(A11, Dataset!A:A, 0))</f>
        <v>11.6</v>
      </c>
      <c r="C11" s="12">
        <f>INDEX(Dataset!N:N, MATCH(A11, Dataset!A:A, 0))</f>
        <v>35.200000000000003</v>
      </c>
      <c r="D11" s="12">
        <f>INDEX(Dataset!R:R, MATCH(A11, Dataset!A:A, 0))</f>
        <v>21.3</v>
      </c>
      <c r="E11" s="12">
        <f>INDEX(Dataset!T:T, MATCH(A11, Dataset!A:A, 0))</f>
        <v>43</v>
      </c>
      <c r="F11" s="8">
        <f>INDEX(Dataset!V:V, MATCH(A11, Dataset!A:A, 0))</f>
        <v>21.3</v>
      </c>
    </row>
    <row r="12" spans="1:7" ht="15" x14ac:dyDescent="0.2">
      <c r="A12" s="7" t="s">
        <v>14</v>
      </c>
      <c r="B12" s="12">
        <f>INDEX(Dataset!G:G, MATCH(A12, Dataset!A:A, 0))</f>
        <v>18.399999999999999</v>
      </c>
      <c r="C12" s="12">
        <f>INDEX(Dataset!N:N, MATCH(A12, Dataset!A:A, 0))</f>
        <v>55.6</v>
      </c>
      <c r="D12" s="12">
        <f>INDEX(Dataset!R:R, MATCH(A12, Dataset!A:A, 0))</f>
        <v>33.799999999999997</v>
      </c>
      <c r="E12" s="12">
        <f>INDEX(Dataset!T:T, MATCH(A12, Dataset!A:A, 0))</f>
        <v>67.900000000000006</v>
      </c>
      <c r="F12" s="8">
        <f>INDEX(Dataset!V:V, MATCH(A12, Dataset!A:A, 0))</f>
        <v>33.799999999999997</v>
      </c>
    </row>
    <row r="13" spans="1:7" ht="15" x14ac:dyDescent="0.2">
      <c r="A13" s="7" t="s">
        <v>15</v>
      </c>
      <c r="B13" s="12">
        <f>INDEX(Dataset!G:G, MATCH(A13, Dataset!A:A, 0))</f>
        <v>0</v>
      </c>
      <c r="C13" s="12">
        <f>INDEX(Dataset!N:N, MATCH(A13, Dataset!A:A, 0))</f>
        <v>0</v>
      </c>
      <c r="D13" s="12">
        <f>INDEX(Dataset!R:R, MATCH(A13, Dataset!A:A, 0))</f>
        <v>0</v>
      </c>
      <c r="E13" s="12">
        <f>INDEX(Dataset!T:T, MATCH(A13, Dataset!A:A, 0))</f>
        <v>0</v>
      </c>
      <c r="F13" s="8">
        <f>INDEX(Dataset!V:V, MATCH(A13, Dataset!A:A, 0))</f>
        <v>0</v>
      </c>
    </row>
    <row r="14" spans="1:7" ht="15" x14ac:dyDescent="0.2">
      <c r="A14" s="7" t="s">
        <v>16</v>
      </c>
      <c r="B14" s="12">
        <f>INDEX(Dataset!G:G, MATCH(A14, Dataset!A:A, 0))</f>
        <v>21.9</v>
      </c>
      <c r="C14" s="12">
        <f>INDEX(Dataset!N:N, MATCH(A14, Dataset!A:A, 0))</f>
        <v>61.5</v>
      </c>
      <c r="D14" s="12">
        <f>INDEX(Dataset!R:R, MATCH(A14, Dataset!A:A, 0))</f>
        <v>40.1</v>
      </c>
      <c r="E14" s="12">
        <f>INDEX(Dataset!T:T, MATCH(A14, Dataset!A:A, 0))</f>
        <v>76.599999999999994</v>
      </c>
      <c r="F14" s="8">
        <f>INDEX(Dataset!V:V, MATCH(A14, Dataset!A:A, 0))</f>
        <v>40.1</v>
      </c>
    </row>
    <row r="15" spans="1:7" ht="15" x14ac:dyDescent="0.2">
      <c r="A15" s="7" t="s">
        <v>18</v>
      </c>
      <c r="B15" s="12">
        <f>INDEX(Dataset!G:G, MATCH(A15, Dataset!A:A, 0))</f>
        <v>26.8</v>
      </c>
      <c r="C15" s="12">
        <f>INDEX(Dataset!N:N, MATCH(A15, Dataset!A:A, 0))</f>
        <v>79.599999999999994</v>
      </c>
      <c r="D15" s="12">
        <f>INDEX(Dataset!R:R, MATCH(A15, Dataset!A:A, 0))</f>
        <v>47.9</v>
      </c>
      <c r="E15" s="12">
        <f>INDEX(Dataset!T:T, MATCH(A15, Dataset!A:A, 0))</f>
        <v>96.8</v>
      </c>
      <c r="F15" s="8">
        <f>INDEX(Dataset!V:V, MATCH(A15, Dataset!A:A, 0))</f>
        <v>47.9</v>
      </c>
    </row>
    <row r="16" spans="1:7" ht="15" x14ac:dyDescent="0.2">
      <c r="A16" s="7" t="s">
        <v>20</v>
      </c>
      <c r="B16" s="12">
        <f>INDEX(Dataset!G:G, MATCH(A16, Dataset!A:A, 0))</f>
        <v>28.5</v>
      </c>
      <c r="C16" s="12">
        <f>INDEX(Dataset!N:N, MATCH(A16, Dataset!A:A, 0))</f>
        <v>85.4</v>
      </c>
      <c r="D16" s="12">
        <f>INDEX(Dataset!R:R, MATCH(A16, Dataset!A:A, 0))</f>
        <v>52.3</v>
      </c>
      <c r="E16" s="12">
        <f>INDEX(Dataset!T:T, MATCH(A16, Dataset!A:A, 0))</f>
        <v>106.1</v>
      </c>
      <c r="F16" s="8">
        <f>INDEX(Dataset!V:V, MATCH(A16, Dataset!A:A, 0))</f>
        <v>52.3</v>
      </c>
    </row>
    <row r="17" spans="1:6" ht="15" x14ac:dyDescent="0.2">
      <c r="A17" s="7" t="s">
        <v>22</v>
      </c>
      <c r="B17" s="12">
        <f>INDEX(Dataset!G:G, MATCH(A17, Dataset!A:A, 0))</f>
        <v>30.7</v>
      </c>
      <c r="C17" s="12">
        <f>INDEX(Dataset!N:N, MATCH(A17, Dataset!A:A, 0))</f>
        <v>92.1</v>
      </c>
      <c r="D17" s="12">
        <f>INDEX(Dataset!R:R, MATCH(A17, Dataset!A:A, 0))</f>
        <v>57</v>
      </c>
      <c r="E17" s="12">
        <f>INDEX(Dataset!T:T, MATCH(A17, Dataset!A:A, 0))</f>
        <v>115.1</v>
      </c>
      <c r="F17" s="8">
        <f>INDEX(Dataset!V:V, MATCH(A17, Dataset!A:A, 0))</f>
        <v>57</v>
      </c>
    </row>
    <row r="18" spans="1:6" ht="15" x14ac:dyDescent="0.2">
      <c r="A18" s="7" t="s">
        <v>23</v>
      </c>
      <c r="B18" s="12">
        <f>INDEX(Dataset!G:G, MATCH(A18, Dataset!A:A, 0))</f>
        <v>33.799999999999997</v>
      </c>
      <c r="C18" s="12">
        <f>INDEX(Dataset!N:N, MATCH(A18, Dataset!A:A, 0))</f>
        <v>101.3</v>
      </c>
      <c r="D18" s="12">
        <f>INDEX(Dataset!R:R, MATCH(A18, Dataset!A:A, 0))</f>
        <v>61.4</v>
      </c>
      <c r="E18" s="12">
        <f>INDEX(Dataset!T:T, MATCH(A18, Dataset!A:A, 0))</f>
        <v>124.4</v>
      </c>
      <c r="F18" s="8">
        <f>INDEX(Dataset!V:V, MATCH(A18, Dataset!A:A, 0))</f>
        <v>61.4</v>
      </c>
    </row>
    <row r="19" spans="1:6" ht="15" x14ac:dyDescent="0.2">
      <c r="A19" s="7" t="s">
        <v>24</v>
      </c>
      <c r="B19" s="12">
        <f>INDEX(Dataset!G:G, MATCH(A19, Dataset!A:A, 0))</f>
        <v>34.700000000000003</v>
      </c>
      <c r="C19" s="12">
        <f>INDEX(Dataset!N:N, MATCH(A19, Dataset!A:A, 0))</f>
        <v>106.1</v>
      </c>
      <c r="D19" s="12">
        <f>INDEX(Dataset!R:R, MATCH(A19, Dataset!A:A, 0))</f>
        <v>63.6</v>
      </c>
      <c r="E19" s="12">
        <f>INDEX(Dataset!T:T, MATCH(A19, Dataset!A:A, 0))</f>
        <v>128.6</v>
      </c>
      <c r="F19" s="8">
        <f>INDEX(Dataset!V:V, MATCH(A19, Dataset!A:A, 0))</f>
        <v>63.6</v>
      </c>
    </row>
    <row r="20" spans="1:6" ht="15" x14ac:dyDescent="0.2">
      <c r="A20" s="7" t="s">
        <v>28</v>
      </c>
      <c r="B20" s="12">
        <f>INDEX(Dataset!G:G, MATCH(A20, Dataset!A:A, 0))</f>
        <v>0</v>
      </c>
      <c r="C20" s="12">
        <f>INDEX(Dataset!N:N, MATCH(A20, Dataset!A:A, 0))</f>
        <v>0</v>
      </c>
      <c r="D20" s="12">
        <f>INDEX(Dataset!R:R, MATCH(A20, Dataset!A:A, 0))</f>
        <v>0</v>
      </c>
      <c r="E20" s="12">
        <f>INDEX(Dataset!T:T, MATCH(A20, Dataset!A:A, 0))</f>
        <v>0</v>
      </c>
      <c r="F20" s="8">
        <f>INDEX(Dataset!V:V, MATCH(A20, Dataset!A:A, 0))</f>
        <v>0</v>
      </c>
    </row>
    <row r="21" spans="1:6" ht="15" x14ac:dyDescent="0.2">
      <c r="A21" s="7" t="s">
        <v>57</v>
      </c>
      <c r="B21" s="12">
        <f>INDEX(Dataset!G:G, MATCH(A21, Dataset!A:A, 0))</f>
        <v>41.3</v>
      </c>
      <c r="C21" s="12">
        <f>INDEX(Dataset!N:N, MATCH(A21, Dataset!A:A, 0))</f>
        <v>124.4</v>
      </c>
      <c r="D21" s="12">
        <f>INDEX(Dataset!R:R, MATCH(A21, Dataset!A:A, 0))</f>
        <v>75</v>
      </c>
      <c r="E21" s="12">
        <f>INDEX(Dataset!T:T, MATCH(A21, Dataset!A:A, 0))</f>
        <v>151.5</v>
      </c>
      <c r="F21" s="8">
        <f>INDEX(Dataset!V:V, MATCH(A21, Dataset!A:A, 0))</f>
        <v>75</v>
      </c>
    </row>
    <row r="22" spans="1:6" ht="15" x14ac:dyDescent="0.2">
      <c r="A22" s="7" t="s">
        <v>58</v>
      </c>
      <c r="B22" s="12">
        <f>INDEX(Dataset!G:G, MATCH(A22, Dataset!A:A, 0))</f>
        <v>-1</v>
      </c>
      <c r="C22" s="12">
        <f>INDEX(Dataset!N:N, MATCH(A22, Dataset!A:A, 0))</f>
        <v>-1</v>
      </c>
      <c r="D22" s="12">
        <f>INDEX(Dataset!R:R, MATCH(A22, Dataset!A:A, 0))</f>
        <v>-1</v>
      </c>
      <c r="E22" s="12">
        <f>INDEX(Dataset!T:T, MATCH(A22, Dataset!A:A, 0))</f>
        <v>-1</v>
      </c>
      <c r="F22" s="8">
        <f>INDEX(Dataset!V:V, MATCH(A22, Dataset!A:A, 0))</f>
        <v>-1</v>
      </c>
    </row>
    <row r="23" spans="1:6" ht="15" x14ac:dyDescent="0.2">
      <c r="A23" s="7" t="s">
        <v>31</v>
      </c>
      <c r="B23" s="12">
        <f>INDEX(Dataset!G:G, MATCH(A23, Dataset!A:A, 0))</f>
        <v>45</v>
      </c>
      <c r="C23" s="12">
        <f>INDEX(Dataset!N:N, MATCH(A23, Dataset!A:A, 0))</f>
        <v>133.4</v>
      </c>
      <c r="D23" s="12">
        <f>INDEX(Dataset!R:R, MATCH(A23, Dataset!A:A, 0))</f>
        <v>79.400000000000006</v>
      </c>
      <c r="E23" s="12">
        <f>INDEX(Dataset!T:T, MATCH(A23, Dataset!A:A, 0))</f>
        <v>160.9</v>
      </c>
      <c r="F23" s="8">
        <f>INDEX(Dataset!V:V, MATCH(A23, Dataset!A:A, 0))</f>
        <v>79.400000000000006</v>
      </c>
    </row>
    <row r="24" spans="1:6" ht="15" x14ac:dyDescent="0.2">
      <c r="A24" s="7" t="s">
        <v>32</v>
      </c>
      <c r="B24" s="12">
        <f>INDEX(Dataset!G:G, MATCH(A24, Dataset!A:A, 0))</f>
        <v>-1</v>
      </c>
      <c r="C24" s="12">
        <f>INDEX(Dataset!N:N, MATCH(A24, Dataset!A:A, 0))</f>
        <v>-1</v>
      </c>
      <c r="D24" s="12">
        <f>INDEX(Dataset!R:R, MATCH(A24, Dataset!A:A, 0))</f>
        <v>-1</v>
      </c>
      <c r="E24" s="12">
        <f>INDEX(Dataset!T:T, MATCH(A24, Dataset!A:A, 0))</f>
        <v>-1</v>
      </c>
      <c r="F24" s="8">
        <f>INDEX(Dataset!V:V, MATCH(A24, Dataset!A:A, 0))</f>
        <v>-1</v>
      </c>
    </row>
    <row r="25" spans="1:6" ht="15" x14ac:dyDescent="0.2">
      <c r="A25" s="7" t="s">
        <v>34</v>
      </c>
      <c r="B25" s="12">
        <f>INDEX(Dataset!G:G, MATCH(A25, Dataset!A:A, 0))</f>
        <v>43.3</v>
      </c>
      <c r="C25" s="12">
        <f>INDEX(Dataset!N:N, MATCH(A25, Dataset!A:A, 0))</f>
        <v>128.6</v>
      </c>
      <c r="D25" s="12">
        <f>INDEX(Dataset!R:R, MATCH(A25, Dataset!A:A, 0))</f>
        <v>79.400000000000006</v>
      </c>
      <c r="E25" s="12">
        <f>INDEX(Dataset!T:T, MATCH(A25, Dataset!A:A, 0))</f>
        <v>160.9</v>
      </c>
      <c r="F25" s="8">
        <f>INDEX(Dataset!V:V, MATCH(A25, Dataset!A:A, 0))</f>
        <v>79.400000000000006</v>
      </c>
    </row>
    <row r="26" spans="1:6" ht="15" x14ac:dyDescent="0.2">
      <c r="A26" s="7" t="s">
        <v>37</v>
      </c>
      <c r="B26" s="12">
        <f>INDEX(Dataset!G:G, MATCH(A26, Dataset!A:A, 0))</f>
        <v>49.1</v>
      </c>
      <c r="C26" s="12">
        <f>INDEX(Dataset!N:N, MATCH(A26, Dataset!A:A, 0))</f>
        <v>146.80000000000001</v>
      </c>
      <c r="D26" s="12">
        <f>INDEX(Dataset!R:R, MATCH(A26, Dataset!A:A, 0))</f>
        <v>90.9</v>
      </c>
      <c r="E26" s="12">
        <f>INDEX(Dataset!T:T, MATCH(A26, Dataset!A:A, 0))</f>
        <v>183.5</v>
      </c>
      <c r="F26" s="8">
        <f>INDEX(Dataset!V:V, MATCH(A26, Dataset!A:A, 0))</f>
        <v>90.9</v>
      </c>
    </row>
    <row r="27" spans="1:6" ht="15" x14ac:dyDescent="0.2">
      <c r="A27" s="7" t="s">
        <v>39</v>
      </c>
      <c r="B27" s="12">
        <f>INDEX(Dataset!G:G, MATCH(A27, Dataset!A:A, 0))</f>
        <v>51.8</v>
      </c>
      <c r="C27" s="12">
        <f>INDEX(Dataset!N:N, MATCH(A27, Dataset!A:A, 0))</f>
        <v>156.4</v>
      </c>
      <c r="D27" s="12">
        <f>INDEX(Dataset!R:R, MATCH(A27, Dataset!A:A, 0))</f>
        <v>93.1</v>
      </c>
      <c r="E27" s="12">
        <f>INDEX(Dataset!T:T, MATCH(A27, Dataset!A:A, 0))</f>
        <v>188.1</v>
      </c>
      <c r="F27" s="8">
        <f>INDEX(Dataset!V:V, MATCH(A27, Dataset!A:A, 0))</f>
        <v>93.1</v>
      </c>
    </row>
    <row r="28" spans="1:6" ht="15" x14ac:dyDescent="0.2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 t="shared" ref="E28:F28" si="0">MIN(E6:E27)</f>
        <v>-1</v>
      </c>
      <c r="F28" s="31">
        <f t="shared" si="0"/>
        <v>-1</v>
      </c>
    </row>
    <row r="29" spans="1:6" ht="15" x14ac:dyDescent="0.2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5" x14ac:dyDescent="0.2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V54"/>
  <sheetViews>
    <sheetView topLeftCell="A3" zoomScaleNormal="100" workbookViewId="0">
      <selection activeCell="J31" sqref="J31"/>
    </sheetView>
  </sheetViews>
  <sheetFormatPr baseColWidth="10" defaultRowHeight="15" x14ac:dyDescent="0.2"/>
  <cols>
    <col min="1" max="1" width="39.796875" style="1" bestFit="1" customWidth="1"/>
    <col min="2" max="16384" width="11" style="1"/>
  </cols>
  <sheetData>
    <row r="1" spans="1:10" s="40" customFormat="1" ht="21" x14ac:dyDescent="0.25">
      <c r="A1" s="41" t="s">
        <v>56</v>
      </c>
      <c r="B1" s="40" t="s">
        <v>135</v>
      </c>
    </row>
    <row r="2" spans="1:10" customFormat="1" ht="13" x14ac:dyDescent="0.15"/>
    <row r="3" spans="1:10" s="2" customFormat="1" x14ac:dyDescent="0.2">
      <c r="B3" s="1"/>
    </row>
    <row r="4" spans="1:10" s="2" customFormat="1" x14ac:dyDescent="0.2">
      <c r="B4" s="1" t="s">
        <v>112</v>
      </c>
    </row>
    <row r="5" spans="1:10" ht="19" x14ac:dyDescent="0.25">
      <c r="A5" s="42" t="s">
        <v>53</v>
      </c>
      <c r="B5" s="56" t="s">
        <v>202</v>
      </c>
      <c r="C5" s="61"/>
      <c r="D5" s="61"/>
      <c r="E5" s="61"/>
    </row>
    <row r="6" spans="1:10" ht="19" x14ac:dyDescent="0.25">
      <c r="A6" s="42" t="s">
        <v>114</v>
      </c>
      <c r="B6" s="62" t="s">
        <v>207</v>
      </c>
      <c r="C6" s="61"/>
      <c r="D6" s="61"/>
      <c r="E6" s="61"/>
    </row>
    <row r="7" spans="1:10" ht="19" x14ac:dyDescent="0.25">
      <c r="A7" s="42"/>
      <c r="B7" s="39"/>
    </row>
    <row r="9" spans="1:10" ht="24" x14ac:dyDescent="0.3">
      <c r="A9" s="18" t="s">
        <v>126</v>
      </c>
      <c r="I9" s="2"/>
      <c r="J9" s="2"/>
    </row>
    <row r="10" spans="1:10" x14ac:dyDescent="0.2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">
      <c r="A11" s="9" t="s">
        <v>111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4" x14ac:dyDescent="0.3">
      <c r="A14" s="18" t="s">
        <v>123</v>
      </c>
    </row>
    <row r="15" spans="1:10" x14ac:dyDescent="0.2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">
      <c r="A16" s="7" t="s">
        <v>111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22" x14ac:dyDescent="0.2">
      <c r="A17" s="7" t="s">
        <v>139</v>
      </c>
      <c r="B17" s="12">
        <v>20000</v>
      </c>
      <c r="C17" s="1" t="s">
        <v>5</v>
      </c>
      <c r="D17" s="12">
        <v>0</v>
      </c>
      <c r="E17" s="1" t="s">
        <v>6</v>
      </c>
      <c r="F17" s="12">
        <v>25</v>
      </c>
    </row>
    <row r="18" spans="1:22" x14ac:dyDescent="0.2">
      <c r="A18" s="7" t="s">
        <v>140</v>
      </c>
      <c r="B18" s="12">
        <v>20000</v>
      </c>
      <c r="C18" s="1" t="s">
        <v>5</v>
      </c>
      <c r="D18" s="12">
        <v>0</v>
      </c>
      <c r="E18" s="1" t="s">
        <v>6</v>
      </c>
      <c r="F18" s="12">
        <v>26</v>
      </c>
    </row>
    <row r="19" spans="1:22" ht="18" x14ac:dyDescent="0.2">
      <c r="A19" s="7" t="s">
        <v>141</v>
      </c>
      <c r="B19" s="12">
        <v>20000</v>
      </c>
      <c r="C19" s="1" t="s">
        <v>5</v>
      </c>
      <c r="D19" s="12">
        <v>0</v>
      </c>
      <c r="E19" s="1" t="s">
        <v>6</v>
      </c>
      <c r="F19" s="12">
        <v>27</v>
      </c>
      <c r="H19" s="57" t="s">
        <v>204</v>
      </c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</row>
    <row r="20" spans="1:22" ht="16" x14ac:dyDescent="0.2">
      <c r="A20" s="7" t="s">
        <v>142</v>
      </c>
      <c r="B20" s="12">
        <v>20000</v>
      </c>
      <c r="C20" s="1" t="s">
        <v>5</v>
      </c>
      <c r="D20" s="12">
        <v>0</v>
      </c>
      <c r="E20" s="1" t="s">
        <v>6</v>
      </c>
      <c r="F20" s="12">
        <v>28</v>
      </c>
      <c r="H20" s="47" t="s">
        <v>205</v>
      </c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</row>
    <row r="21" spans="1:22" ht="16" x14ac:dyDescent="0.2">
      <c r="A21" s="7" t="s">
        <v>143</v>
      </c>
      <c r="B21" s="12">
        <v>20000</v>
      </c>
      <c r="C21" s="1" t="s">
        <v>5</v>
      </c>
      <c r="D21" s="12">
        <v>0</v>
      </c>
      <c r="E21" s="1" t="s">
        <v>6</v>
      </c>
      <c r="F21" s="12">
        <v>29</v>
      </c>
      <c r="H21" s="47" t="s">
        <v>206</v>
      </c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</row>
    <row r="22" spans="1:22" ht="16" x14ac:dyDescent="0.2">
      <c r="A22" s="7" t="s">
        <v>144</v>
      </c>
      <c r="B22" s="12">
        <v>20000</v>
      </c>
      <c r="C22" s="1" t="s">
        <v>5</v>
      </c>
      <c r="D22" s="12">
        <v>0</v>
      </c>
      <c r="E22" s="1" t="s">
        <v>6</v>
      </c>
      <c r="F22" s="12">
        <v>30</v>
      </c>
      <c r="H22" s="47" t="s">
        <v>203</v>
      </c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</row>
    <row r="23" spans="1:22" x14ac:dyDescent="0.2">
      <c r="A23" s="7" t="s">
        <v>145</v>
      </c>
      <c r="B23" s="12">
        <v>20000</v>
      </c>
      <c r="C23" s="1" t="s">
        <v>5</v>
      </c>
      <c r="D23" s="12">
        <v>0</v>
      </c>
      <c r="E23" s="1" t="s">
        <v>6</v>
      </c>
      <c r="F23" s="12">
        <v>31</v>
      </c>
    </row>
    <row r="24" spans="1:22" x14ac:dyDescent="0.2">
      <c r="A24" s="7" t="s">
        <v>146</v>
      </c>
      <c r="B24" s="12">
        <v>20000</v>
      </c>
      <c r="C24" s="1" t="s">
        <v>5</v>
      </c>
      <c r="D24" s="12">
        <v>0</v>
      </c>
      <c r="E24" s="1" t="s">
        <v>6</v>
      </c>
      <c r="F24" s="12">
        <v>32</v>
      </c>
    </row>
    <row r="25" spans="1:22" x14ac:dyDescent="0.2">
      <c r="A25" s="7" t="s">
        <v>147</v>
      </c>
      <c r="B25" s="12">
        <v>20000</v>
      </c>
      <c r="C25" s="1" t="s">
        <v>5</v>
      </c>
      <c r="D25" s="12">
        <v>0</v>
      </c>
      <c r="E25" s="1" t="s">
        <v>6</v>
      </c>
      <c r="F25" s="12">
        <v>33</v>
      </c>
    </row>
    <row r="26" spans="1:22" x14ac:dyDescent="0.2">
      <c r="A26" s="7" t="s">
        <v>148</v>
      </c>
      <c r="B26" s="12">
        <v>20000</v>
      </c>
      <c r="C26" s="1" t="s">
        <v>5</v>
      </c>
      <c r="D26" s="12">
        <v>0</v>
      </c>
      <c r="E26" s="1" t="s">
        <v>6</v>
      </c>
      <c r="F26" s="12">
        <v>34</v>
      </c>
    </row>
    <row r="27" spans="1:22" x14ac:dyDescent="0.2">
      <c r="A27" s="7" t="s">
        <v>149</v>
      </c>
      <c r="B27" s="12">
        <v>20000</v>
      </c>
      <c r="C27" s="1" t="s">
        <v>5</v>
      </c>
      <c r="D27" s="12">
        <v>0</v>
      </c>
      <c r="E27" s="1" t="s">
        <v>6</v>
      </c>
      <c r="F27" s="12">
        <v>35</v>
      </c>
    </row>
    <row r="28" spans="1:22" x14ac:dyDescent="0.2">
      <c r="A28" s="7" t="s">
        <v>150</v>
      </c>
      <c r="B28" s="12">
        <v>20000</v>
      </c>
      <c r="C28" s="1" t="s">
        <v>5</v>
      </c>
      <c r="D28" s="12">
        <v>0</v>
      </c>
      <c r="E28" s="1" t="s">
        <v>6</v>
      </c>
      <c r="F28" s="12">
        <v>36</v>
      </c>
    </row>
    <row r="29" spans="1:22" x14ac:dyDescent="0.2">
      <c r="A29" s="7" t="s">
        <v>151</v>
      </c>
      <c r="B29" s="12">
        <v>20000</v>
      </c>
      <c r="C29" s="1" t="s">
        <v>5</v>
      </c>
      <c r="D29" s="12">
        <v>0</v>
      </c>
      <c r="E29" s="1" t="s">
        <v>6</v>
      </c>
      <c r="F29" s="12">
        <v>37</v>
      </c>
    </row>
    <row r="30" spans="1:22" x14ac:dyDescent="0.2">
      <c r="A30" s="7" t="s">
        <v>152</v>
      </c>
      <c r="B30" s="12">
        <v>20000</v>
      </c>
      <c r="C30" s="1" t="s">
        <v>5</v>
      </c>
      <c r="D30" s="12">
        <v>0</v>
      </c>
      <c r="E30" s="1" t="s">
        <v>6</v>
      </c>
      <c r="F30" s="12">
        <v>38</v>
      </c>
    </row>
    <row r="31" spans="1:22" x14ac:dyDescent="0.2">
      <c r="A31" s="7" t="s">
        <v>153</v>
      </c>
      <c r="B31" s="12">
        <v>20000</v>
      </c>
      <c r="C31" s="1" t="s">
        <v>5</v>
      </c>
      <c r="D31" s="12">
        <v>0</v>
      </c>
      <c r="E31" s="1" t="s">
        <v>6</v>
      </c>
      <c r="F31" s="12">
        <v>39</v>
      </c>
    </row>
    <row r="32" spans="1:22" x14ac:dyDescent="0.2">
      <c r="A32" s="7" t="s">
        <v>154</v>
      </c>
      <c r="B32" s="12">
        <v>20000</v>
      </c>
      <c r="C32" s="1" t="s">
        <v>5</v>
      </c>
      <c r="D32" s="12">
        <v>0</v>
      </c>
      <c r="E32" s="1" t="s">
        <v>6</v>
      </c>
      <c r="F32" s="12">
        <v>40</v>
      </c>
    </row>
    <row r="33" spans="1:6" x14ac:dyDescent="0.2">
      <c r="A33" s="7" t="s">
        <v>155</v>
      </c>
      <c r="B33" s="12">
        <v>20000</v>
      </c>
      <c r="C33" s="1" t="s">
        <v>5</v>
      </c>
      <c r="D33" s="12">
        <v>0</v>
      </c>
      <c r="E33" s="1" t="s">
        <v>6</v>
      </c>
      <c r="F33" s="12">
        <v>41</v>
      </c>
    </row>
    <row r="34" spans="1:6" x14ac:dyDescent="0.2">
      <c r="A34" s="7" t="s">
        <v>156</v>
      </c>
      <c r="B34" s="12">
        <v>20000</v>
      </c>
      <c r="C34" s="1" t="s">
        <v>5</v>
      </c>
      <c r="D34" s="12">
        <v>0</v>
      </c>
      <c r="E34" s="1" t="s">
        <v>6</v>
      </c>
      <c r="F34" s="12">
        <v>42</v>
      </c>
    </row>
    <row r="35" spans="1:6" x14ac:dyDescent="0.2">
      <c r="A35" s="7" t="s">
        <v>157</v>
      </c>
      <c r="B35" s="12">
        <v>20000</v>
      </c>
      <c r="C35" s="1" t="s">
        <v>5</v>
      </c>
      <c r="D35" s="12">
        <v>0</v>
      </c>
      <c r="E35" s="1" t="s">
        <v>6</v>
      </c>
      <c r="F35" s="12">
        <v>43</v>
      </c>
    </row>
    <row r="36" spans="1:6" x14ac:dyDescent="0.2">
      <c r="A36" s="7" t="s">
        <v>158</v>
      </c>
      <c r="B36" s="12">
        <v>20000</v>
      </c>
      <c r="C36" s="1" t="s">
        <v>5</v>
      </c>
      <c r="D36" s="12">
        <v>0</v>
      </c>
      <c r="E36" s="1" t="s">
        <v>6</v>
      </c>
      <c r="F36" s="12">
        <v>44</v>
      </c>
    </row>
    <row r="37" spans="1:6" x14ac:dyDescent="0.2">
      <c r="A37" s="7" t="s">
        <v>159</v>
      </c>
      <c r="B37" s="12">
        <v>20000</v>
      </c>
      <c r="C37" s="1" t="s">
        <v>5</v>
      </c>
      <c r="D37" s="12">
        <v>0</v>
      </c>
      <c r="E37" s="1" t="s">
        <v>6</v>
      </c>
      <c r="F37" s="12">
        <v>45</v>
      </c>
    </row>
    <row r="38" spans="1:6" x14ac:dyDescent="0.2">
      <c r="A38" s="7" t="s">
        <v>160</v>
      </c>
      <c r="B38" s="12">
        <v>20000</v>
      </c>
      <c r="C38" s="1" t="s">
        <v>5</v>
      </c>
      <c r="D38" s="12">
        <v>0</v>
      </c>
      <c r="E38" s="1" t="s">
        <v>6</v>
      </c>
      <c r="F38" s="12">
        <v>46</v>
      </c>
    </row>
    <row r="39" spans="1:6" x14ac:dyDescent="0.2">
      <c r="A39" s="7" t="s">
        <v>161</v>
      </c>
      <c r="B39" s="12">
        <v>20000</v>
      </c>
      <c r="C39" s="1" t="s">
        <v>5</v>
      </c>
      <c r="D39" s="12">
        <v>0</v>
      </c>
      <c r="E39" s="1" t="s">
        <v>6</v>
      </c>
      <c r="F39" s="12">
        <v>47</v>
      </c>
    </row>
    <row r="40" spans="1:6" x14ac:dyDescent="0.2">
      <c r="A40" s="7" t="s">
        <v>162</v>
      </c>
      <c r="B40" s="12">
        <v>20000</v>
      </c>
      <c r="C40" s="1" t="s">
        <v>5</v>
      </c>
      <c r="D40" s="12">
        <v>0</v>
      </c>
      <c r="E40" s="1" t="s">
        <v>6</v>
      </c>
      <c r="F40" s="12">
        <v>48</v>
      </c>
    </row>
    <row r="41" spans="1:6" x14ac:dyDescent="0.2">
      <c r="A41" s="7" t="s">
        <v>163</v>
      </c>
      <c r="B41" s="12">
        <v>20000</v>
      </c>
      <c r="C41" s="1" t="s">
        <v>5</v>
      </c>
      <c r="D41" s="12">
        <v>0</v>
      </c>
      <c r="E41" s="1" t="s">
        <v>6</v>
      </c>
      <c r="F41" s="12">
        <v>49</v>
      </c>
    </row>
    <row r="42" spans="1:6" x14ac:dyDescent="0.2">
      <c r="A42" s="7" t="s">
        <v>164</v>
      </c>
      <c r="B42" s="12">
        <v>20000</v>
      </c>
      <c r="C42" s="1" t="s">
        <v>5</v>
      </c>
      <c r="D42" s="12">
        <v>0</v>
      </c>
      <c r="E42" s="1" t="s">
        <v>6</v>
      </c>
      <c r="F42" s="12">
        <v>50</v>
      </c>
    </row>
    <row r="43" spans="1:6" x14ac:dyDescent="0.2">
      <c r="A43" s="7" t="s">
        <v>165</v>
      </c>
      <c r="B43" s="12">
        <v>20000</v>
      </c>
      <c r="C43" s="1" t="s">
        <v>5</v>
      </c>
      <c r="D43" s="12">
        <v>0</v>
      </c>
      <c r="E43" s="1" t="s">
        <v>6</v>
      </c>
      <c r="F43" s="12">
        <v>51</v>
      </c>
    </row>
    <row r="44" spans="1:6" x14ac:dyDescent="0.2">
      <c r="A44" s="7" t="s">
        <v>166</v>
      </c>
      <c r="B44" s="12">
        <v>20000</v>
      </c>
      <c r="C44" s="1" t="s">
        <v>5</v>
      </c>
      <c r="D44" s="12">
        <v>0</v>
      </c>
      <c r="E44" s="1" t="s">
        <v>6</v>
      </c>
      <c r="F44" s="12">
        <v>52</v>
      </c>
    </row>
    <row r="45" spans="1:6" x14ac:dyDescent="0.2">
      <c r="A45" s="7" t="s">
        <v>167</v>
      </c>
      <c r="B45" s="12">
        <v>20000</v>
      </c>
      <c r="C45" s="1" t="s">
        <v>5</v>
      </c>
      <c r="D45" s="12">
        <v>0</v>
      </c>
      <c r="E45" s="1" t="s">
        <v>6</v>
      </c>
      <c r="F45" s="12">
        <v>53</v>
      </c>
    </row>
    <row r="46" spans="1:6" x14ac:dyDescent="0.2">
      <c r="A46" s="7" t="s">
        <v>168</v>
      </c>
      <c r="B46" s="12">
        <v>20000</v>
      </c>
      <c r="C46" s="1" t="s">
        <v>5</v>
      </c>
      <c r="D46" s="12">
        <v>0</v>
      </c>
      <c r="E46" s="1" t="s">
        <v>6</v>
      </c>
      <c r="F46" s="12">
        <v>54</v>
      </c>
    </row>
    <row r="47" spans="1:6" x14ac:dyDescent="0.2">
      <c r="A47" s="7" t="s">
        <v>169</v>
      </c>
      <c r="B47" s="12">
        <v>20000</v>
      </c>
      <c r="C47" s="1" t="s">
        <v>5</v>
      </c>
      <c r="D47" s="12">
        <v>0</v>
      </c>
      <c r="E47" s="1" t="s">
        <v>6</v>
      </c>
      <c r="F47" s="12">
        <v>55</v>
      </c>
    </row>
    <row r="48" spans="1:6" x14ac:dyDescent="0.2">
      <c r="A48" s="7" t="s">
        <v>170</v>
      </c>
      <c r="B48" s="12">
        <v>20000</v>
      </c>
      <c r="C48" s="1" t="s">
        <v>5</v>
      </c>
      <c r="D48" s="12">
        <v>0</v>
      </c>
      <c r="E48" s="1" t="s">
        <v>6</v>
      </c>
      <c r="F48" s="12">
        <v>56</v>
      </c>
    </row>
    <row r="49" spans="1:6" x14ac:dyDescent="0.2">
      <c r="A49" s="7" t="s">
        <v>171</v>
      </c>
      <c r="B49" s="12">
        <v>20000</v>
      </c>
      <c r="C49" s="1" t="s">
        <v>5</v>
      </c>
      <c r="D49" s="12">
        <v>0</v>
      </c>
      <c r="E49" s="1" t="s">
        <v>6</v>
      </c>
      <c r="F49" s="12">
        <v>57</v>
      </c>
    </row>
    <row r="50" spans="1:6" x14ac:dyDescent="0.2">
      <c r="A50" s="7" t="s">
        <v>172</v>
      </c>
      <c r="B50" s="12">
        <v>20000</v>
      </c>
      <c r="C50" s="1" t="s">
        <v>5</v>
      </c>
      <c r="D50" s="12">
        <v>0</v>
      </c>
      <c r="E50" s="1" t="s">
        <v>6</v>
      </c>
      <c r="F50" s="12">
        <v>58</v>
      </c>
    </row>
    <row r="51" spans="1:6" x14ac:dyDescent="0.2">
      <c r="A51" s="7" t="s">
        <v>173</v>
      </c>
      <c r="B51" s="12">
        <v>20000</v>
      </c>
      <c r="C51" s="1" t="s">
        <v>5</v>
      </c>
      <c r="D51" s="12">
        <v>0</v>
      </c>
      <c r="E51" s="1" t="s">
        <v>6</v>
      </c>
      <c r="F51" s="12">
        <v>59</v>
      </c>
    </row>
    <row r="52" spans="1:6" x14ac:dyDescent="0.2">
      <c r="A52" s="7" t="s">
        <v>174</v>
      </c>
      <c r="B52" s="12">
        <v>20000</v>
      </c>
      <c r="C52" s="1" t="s">
        <v>5</v>
      </c>
      <c r="D52" s="12">
        <v>0</v>
      </c>
      <c r="E52" s="1" t="s">
        <v>6</v>
      </c>
      <c r="F52" s="12">
        <v>60</v>
      </c>
    </row>
    <row r="53" spans="1:6" x14ac:dyDescent="0.2">
      <c r="A53" s="7" t="s">
        <v>175</v>
      </c>
      <c r="B53" s="12">
        <v>20000</v>
      </c>
      <c r="C53" s="1" t="s">
        <v>5</v>
      </c>
      <c r="D53" s="12">
        <v>0</v>
      </c>
      <c r="E53" s="1" t="s">
        <v>6</v>
      </c>
      <c r="F53" s="12">
        <v>61</v>
      </c>
    </row>
    <row r="54" spans="1:6" x14ac:dyDescent="0.2">
      <c r="A54" s="7" t="s">
        <v>176</v>
      </c>
      <c r="B54" s="13">
        <v>20000</v>
      </c>
      <c r="C54" s="10" t="s">
        <v>5</v>
      </c>
      <c r="D54" s="13">
        <v>0</v>
      </c>
      <c r="E54" s="10" t="s">
        <v>6</v>
      </c>
      <c r="F54" s="13">
        <v>62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Q22"/>
  <sheetViews>
    <sheetView zoomScaleNormal="100" workbookViewId="0">
      <selection activeCell="I39" sqref="I39"/>
    </sheetView>
  </sheetViews>
  <sheetFormatPr baseColWidth="10" defaultRowHeight="14" x14ac:dyDescent="0.2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17" ht="21" x14ac:dyDescent="0.25">
      <c r="A1" s="41" t="s">
        <v>85</v>
      </c>
      <c r="B1" s="40" t="s">
        <v>128</v>
      </c>
    </row>
    <row r="2" spans="1:17" ht="19" x14ac:dyDescent="0.25">
      <c r="B2" s="39" t="s">
        <v>127</v>
      </c>
    </row>
    <row r="5" spans="1:17" ht="15" x14ac:dyDescent="0.2">
      <c r="B5" s="1" t="s">
        <v>112</v>
      </c>
    </row>
    <row r="6" spans="1:17" ht="16" x14ac:dyDescent="0.2">
      <c r="A6" s="3" t="s">
        <v>53</v>
      </c>
      <c r="B6" s="56" t="s">
        <v>191</v>
      </c>
      <c r="C6" s="48"/>
      <c r="D6" s="48"/>
      <c r="E6" s="48"/>
    </row>
    <row r="7" spans="1:17" ht="16" x14ac:dyDescent="0.2">
      <c r="A7" s="3" t="s">
        <v>114</v>
      </c>
      <c r="B7" s="51" t="s">
        <v>192</v>
      </c>
      <c r="C7" s="48"/>
      <c r="D7" s="48"/>
      <c r="E7" s="48"/>
    </row>
    <row r="10" spans="1:17" ht="24" x14ac:dyDescent="0.3">
      <c r="A10" s="18" t="s">
        <v>123</v>
      </c>
    </row>
    <row r="11" spans="1:17" ht="19" x14ac:dyDescent="0.25">
      <c r="A11" s="32" t="s">
        <v>86</v>
      </c>
      <c r="B11" s="17" t="s">
        <v>87</v>
      </c>
      <c r="C11" s="17" t="s">
        <v>88</v>
      </c>
      <c r="F11" s="59"/>
      <c r="G11" s="58" t="s">
        <v>201</v>
      </c>
      <c r="H11" s="59"/>
      <c r="I11" s="59"/>
      <c r="J11" s="59"/>
      <c r="K11" s="59"/>
      <c r="L11" s="59"/>
      <c r="M11" s="59"/>
      <c r="N11" s="59"/>
      <c r="O11" s="59"/>
      <c r="P11" s="48"/>
      <c r="Q11" s="48"/>
    </row>
    <row r="12" spans="1:17" ht="19" x14ac:dyDescent="0.25">
      <c r="A12" s="32">
        <v>44927</v>
      </c>
      <c r="B12" s="17" t="s">
        <v>59</v>
      </c>
      <c r="C12" s="17">
        <v>200</v>
      </c>
      <c r="F12" s="48"/>
      <c r="G12" s="58" t="s">
        <v>193</v>
      </c>
      <c r="H12" s="59"/>
      <c r="I12" s="59"/>
      <c r="J12" s="59"/>
      <c r="K12" s="59"/>
      <c r="L12" s="59"/>
      <c r="M12" s="59"/>
      <c r="N12" s="59"/>
      <c r="O12" s="59"/>
      <c r="P12" s="48"/>
      <c r="Q12" s="48"/>
    </row>
    <row r="13" spans="1:17" ht="19" x14ac:dyDescent="0.25">
      <c r="A13" s="32">
        <v>44928</v>
      </c>
      <c r="B13" s="17" t="s">
        <v>60</v>
      </c>
      <c r="C13" s="17">
        <v>20</v>
      </c>
      <c r="F13" s="48"/>
      <c r="G13" s="58" t="s">
        <v>196</v>
      </c>
      <c r="H13" s="59"/>
      <c r="I13" s="59"/>
      <c r="J13" s="59"/>
      <c r="K13" s="59"/>
      <c r="L13" s="59"/>
      <c r="M13" s="59"/>
      <c r="N13" s="59"/>
      <c r="O13" s="59"/>
      <c r="P13" s="48"/>
      <c r="Q13" s="48"/>
    </row>
    <row r="14" spans="1:17" ht="19" x14ac:dyDescent="0.25">
      <c r="A14" s="32">
        <v>44929</v>
      </c>
      <c r="B14" s="17" t="s">
        <v>61</v>
      </c>
      <c r="C14" s="17">
        <v>50</v>
      </c>
      <c r="F14" s="48"/>
      <c r="G14" s="58" t="s">
        <v>197</v>
      </c>
      <c r="H14" s="59"/>
      <c r="I14" s="59"/>
      <c r="J14" s="59"/>
      <c r="K14" s="59"/>
      <c r="L14" s="59"/>
      <c r="M14" s="59"/>
      <c r="N14" s="59"/>
      <c r="O14" s="59"/>
      <c r="P14" s="48"/>
      <c r="Q14" s="48"/>
    </row>
    <row r="15" spans="1:17" ht="19" x14ac:dyDescent="0.25">
      <c r="A15" s="32">
        <v>44930</v>
      </c>
      <c r="B15" s="17" t="s">
        <v>62</v>
      </c>
      <c r="C15" s="17">
        <v>20</v>
      </c>
      <c r="F15" s="48"/>
      <c r="G15" s="58" t="s">
        <v>198</v>
      </c>
      <c r="H15" s="59"/>
      <c r="I15" s="59"/>
      <c r="J15" s="59"/>
      <c r="K15" s="59"/>
      <c r="L15" s="59"/>
      <c r="M15" s="59"/>
      <c r="N15" s="59"/>
      <c r="O15" s="59"/>
      <c r="P15" s="48"/>
      <c r="Q15" s="48"/>
    </row>
    <row r="16" spans="1:17" ht="19" x14ac:dyDescent="0.25">
      <c r="A16" s="32">
        <v>44931</v>
      </c>
      <c r="B16" s="17" t="s">
        <v>63</v>
      </c>
      <c r="C16" s="17">
        <v>10</v>
      </c>
      <c r="F16" s="48"/>
      <c r="G16" s="58" t="s">
        <v>194</v>
      </c>
      <c r="H16" s="59"/>
      <c r="I16" s="59"/>
      <c r="J16" s="59"/>
      <c r="K16" s="59"/>
      <c r="L16" s="59"/>
      <c r="M16" s="59"/>
      <c r="N16" s="59"/>
      <c r="O16" s="59"/>
      <c r="P16" s="48"/>
      <c r="Q16" s="48"/>
    </row>
    <row r="17" spans="1:17" ht="19" x14ac:dyDescent="0.25">
      <c r="A17" s="32">
        <v>44932</v>
      </c>
      <c r="B17" s="17" t="s">
        <v>115</v>
      </c>
      <c r="C17" s="17">
        <v>150</v>
      </c>
      <c r="F17" s="48"/>
      <c r="G17" s="58" t="s">
        <v>199</v>
      </c>
      <c r="H17" s="59"/>
      <c r="I17" s="59"/>
      <c r="J17" s="59"/>
      <c r="K17" s="59"/>
      <c r="L17" s="59"/>
      <c r="M17" s="59"/>
      <c r="N17" s="59"/>
      <c r="O17" s="59"/>
      <c r="P17" s="48"/>
      <c r="Q17" s="48"/>
    </row>
    <row r="18" spans="1:17" ht="19" x14ac:dyDescent="0.25">
      <c r="A18" s="32">
        <v>44933</v>
      </c>
      <c r="B18" s="17" t="s">
        <v>116</v>
      </c>
      <c r="C18" s="17">
        <v>80</v>
      </c>
      <c r="F18" s="48"/>
      <c r="G18" s="60" t="s">
        <v>200</v>
      </c>
      <c r="H18" s="59"/>
      <c r="I18" s="59"/>
      <c r="J18" s="59"/>
      <c r="K18" s="59"/>
      <c r="L18" s="59"/>
      <c r="M18" s="59"/>
      <c r="N18" s="59"/>
      <c r="O18" s="59"/>
      <c r="P18" s="48"/>
      <c r="Q18" s="48"/>
    </row>
    <row r="19" spans="1:17" ht="19" x14ac:dyDescent="0.25">
      <c r="A19" s="32">
        <v>44934</v>
      </c>
      <c r="B19" s="17" t="s">
        <v>117</v>
      </c>
      <c r="C19" s="17">
        <v>20</v>
      </c>
      <c r="F19" s="48"/>
      <c r="G19" s="58" t="s">
        <v>195</v>
      </c>
      <c r="H19" s="59"/>
      <c r="I19" s="59"/>
      <c r="J19" s="59"/>
      <c r="K19" s="59"/>
      <c r="L19" s="59"/>
      <c r="M19" s="59"/>
      <c r="N19" s="59"/>
      <c r="O19" s="59"/>
      <c r="P19" s="48"/>
      <c r="Q19" s="48"/>
    </row>
    <row r="20" spans="1:17" ht="15" x14ac:dyDescent="0.2">
      <c r="A20" s="32">
        <v>44935</v>
      </c>
      <c r="B20" s="17" t="s">
        <v>118</v>
      </c>
      <c r="C20" s="17">
        <v>30</v>
      </c>
    </row>
    <row r="21" spans="1:17" ht="15" x14ac:dyDescent="0.2">
      <c r="A21" s="32">
        <v>44936</v>
      </c>
      <c r="B21" s="17" t="s">
        <v>119</v>
      </c>
      <c r="C21" s="17">
        <v>20</v>
      </c>
    </row>
    <row r="22" spans="1:17" ht="15" x14ac:dyDescent="0.2">
      <c r="B22" s="17" t="s">
        <v>120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Y37"/>
  <sheetViews>
    <sheetView tabSelected="1" zoomScale="109" zoomScaleNormal="100" workbookViewId="0">
      <selection activeCell="E24" sqref="E24"/>
    </sheetView>
  </sheetViews>
  <sheetFormatPr baseColWidth="10" defaultRowHeight="14" x14ac:dyDescent="0.2"/>
  <cols>
    <col min="1" max="1" width="28.19921875" style="2" bestFit="1" customWidth="1"/>
    <col min="2" max="6" width="11" style="2"/>
    <col min="7" max="7" width="11" style="2" customWidth="1"/>
    <col min="8" max="16384" width="11" style="2"/>
  </cols>
  <sheetData>
    <row r="1" spans="1:17" ht="21" x14ac:dyDescent="0.25">
      <c r="A1" s="41" t="s">
        <v>98</v>
      </c>
      <c r="B1" s="40" t="s">
        <v>136</v>
      </c>
    </row>
    <row r="3" spans="1:17" ht="15" x14ac:dyDescent="0.2">
      <c r="B3" s="1" t="s">
        <v>112</v>
      </c>
    </row>
    <row r="4" spans="1:17" ht="19" x14ac:dyDescent="0.25">
      <c r="A4" s="42" t="s">
        <v>53</v>
      </c>
      <c r="B4" s="1"/>
      <c r="C4" s="51" t="s">
        <v>185</v>
      </c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48"/>
      <c r="Q4" s="48"/>
    </row>
    <row r="5" spans="1:17" ht="19" x14ac:dyDescent="0.25">
      <c r="A5" s="42" t="s">
        <v>114</v>
      </c>
      <c r="B5" s="1"/>
      <c r="C5" s="48" t="s">
        <v>190</v>
      </c>
      <c r="D5" s="48"/>
      <c r="E5" s="48"/>
      <c r="F5" s="48"/>
    </row>
    <row r="6" spans="1:17" ht="15" x14ac:dyDescent="0.2">
      <c r="A6" s="3"/>
      <c r="B6" s="1"/>
    </row>
    <row r="8" spans="1:17" ht="24" x14ac:dyDescent="0.3">
      <c r="A8" s="18" t="s">
        <v>123</v>
      </c>
      <c r="M8" s="18" t="s">
        <v>124</v>
      </c>
    </row>
    <row r="9" spans="1:17" ht="15" x14ac:dyDescent="0.2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7" ht="15" x14ac:dyDescent="0.2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7" ht="15" x14ac:dyDescent="0.2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7" ht="15" x14ac:dyDescent="0.2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7" ht="15" x14ac:dyDescent="0.2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7" ht="15" x14ac:dyDescent="0.2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7" ht="15" x14ac:dyDescent="0.2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7" ht="15" x14ac:dyDescent="0.2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25" ht="15" x14ac:dyDescent="0.2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25" ht="15" x14ac:dyDescent="0.2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25" ht="24" x14ac:dyDescent="0.3">
      <c r="A21" s="18" t="s">
        <v>129</v>
      </c>
      <c r="G21" s="52" t="s">
        <v>184</v>
      </c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</row>
    <row r="22" spans="1:25" ht="16" x14ac:dyDescent="0.2">
      <c r="A22" s="14" t="s">
        <v>100</v>
      </c>
      <c r="B22" s="17" t="s">
        <v>101</v>
      </c>
      <c r="C22" s="16" t="s">
        <v>102</v>
      </c>
      <c r="G22" s="53" t="s">
        <v>189</v>
      </c>
      <c r="H22" s="54"/>
      <c r="I22" s="54"/>
      <c r="J22" s="54"/>
      <c r="K22" s="54"/>
      <c r="L22" s="54"/>
      <c r="M22" s="54"/>
      <c r="N22" s="54"/>
      <c r="O22" s="54"/>
      <c r="P22" s="51"/>
      <c r="Q22" s="51"/>
      <c r="R22" s="51"/>
      <c r="S22" s="51"/>
      <c r="T22" s="51"/>
      <c r="U22" s="51"/>
      <c r="V22" s="51"/>
      <c r="W22" s="51"/>
      <c r="X22" s="51"/>
      <c r="Y22" s="51"/>
    </row>
    <row r="23" spans="1:25" ht="16" x14ac:dyDescent="0.2">
      <c r="A23" s="7">
        <v>10100</v>
      </c>
      <c r="B23" s="12">
        <v>10102</v>
      </c>
      <c r="C23" s="43">
        <f>IFERROR(INDEX($B$10:$J$18, MATCH(VLOOKUP(A23, $M$10:$N$18, 2, FALSE), $A$10:$A$18, 0), MATCH(VLOOKUP(B23, $M$10:$N$18, 2, FALSE), $B$9:$J$9, 0)), "")</f>
        <v>95</v>
      </c>
      <c r="G23" s="53"/>
      <c r="H23" s="54"/>
      <c r="I23" s="54"/>
      <c r="J23" s="54"/>
      <c r="K23" s="54"/>
      <c r="L23" s="54"/>
      <c r="M23" s="54"/>
      <c r="N23" s="54"/>
      <c r="O23" s="54"/>
      <c r="P23" s="51"/>
      <c r="Q23" s="51"/>
      <c r="R23" s="51"/>
      <c r="S23" s="51"/>
      <c r="T23" s="51"/>
      <c r="U23" s="51"/>
      <c r="V23" s="51"/>
      <c r="W23" s="51"/>
      <c r="X23" s="51"/>
      <c r="Y23" s="51"/>
    </row>
    <row r="24" spans="1:25" ht="16" x14ac:dyDescent="0.2">
      <c r="A24" s="7">
        <v>10100</v>
      </c>
      <c r="B24" s="12">
        <v>10104</v>
      </c>
      <c r="C24" s="43">
        <f t="shared" ref="C24:C35" si="0">IFERROR(INDEX($B$10:$J$18, MATCH(VLOOKUP(A24, $M$10:$N$18, 2, FALSE), $A$10:$A$18, 0), MATCH(VLOOKUP(B24, $M$10:$N$18, 2, FALSE), $B$9:$J$9, 0)), "")</f>
        <v>-1</v>
      </c>
      <c r="G24" s="53" t="s">
        <v>186</v>
      </c>
      <c r="H24" s="54"/>
      <c r="I24" s="54"/>
      <c r="J24" s="54"/>
      <c r="K24" s="54"/>
      <c r="L24" s="54"/>
      <c r="M24" s="54"/>
      <c r="N24" s="54"/>
      <c r="O24" s="54"/>
      <c r="P24" s="51"/>
      <c r="Q24" s="51"/>
      <c r="R24" s="51"/>
      <c r="S24" s="51"/>
      <c r="T24" s="51"/>
      <c r="U24" s="51"/>
      <c r="V24" s="51"/>
      <c r="W24" s="51"/>
      <c r="X24" s="51"/>
      <c r="Y24" s="51"/>
    </row>
    <row r="25" spans="1:25" ht="16" x14ac:dyDescent="0.2">
      <c r="A25" s="7">
        <v>10108</v>
      </c>
      <c r="B25" s="12">
        <v>10102</v>
      </c>
      <c r="C25" s="43">
        <f t="shared" si="0"/>
        <v>160</v>
      </c>
      <c r="G25" s="53" t="s">
        <v>187</v>
      </c>
      <c r="H25" s="54"/>
      <c r="I25" s="54"/>
      <c r="J25" s="54"/>
      <c r="K25" s="54"/>
      <c r="L25" s="54"/>
      <c r="M25" s="54"/>
      <c r="N25" s="54"/>
      <c r="O25" s="54"/>
      <c r="P25" s="51"/>
      <c r="Q25" s="51"/>
      <c r="R25" s="51"/>
      <c r="S25" s="51"/>
      <c r="T25" s="51"/>
      <c r="U25" s="51"/>
      <c r="V25" s="51"/>
      <c r="W25" s="51"/>
      <c r="X25" s="51"/>
      <c r="Y25" s="51"/>
    </row>
    <row r="26" spans="1:25" ht="16" x14ac:dyDescent="0.2">
      <c r="A26" s="7">
        <v>10100</v>
      </c>
      <c r="B26" s="12">
        <v>10106</v>
      </c>
      <c r="C26" s="43">
        <f t="shared" si="0"/>
        <v>185</v>
      </c>
      <c r="G26" s="53" t="s">
        <v>188</v>
      </c>
      <c r="H26" s="54"/>
      <c r="I26" s="54"/>
      <c r="J26" s="54"/>
      <c r="K26" s="54"/>
      <c r="L26" s="54"/>
      <c r="M26" s="54"/>
      <c r="N26" s="54"/>
      <c r="O26" s="54"/>
      <c r="P26" s="51"/>
      <c r="Q26" s="51"/>
      <c r="R26" s="51"/>
      <c r="S26" s="51"/>
      <c r="T26" s="51"/>
      <c r="U26" s="51"/>
      <c r="V26" s="51"/>
      <c r="W26" s="51"/>
      <c r="X26" s="51"/>
      <c r="Y26" s="51"/>
    </row>
    <row r="27" spans="1:25" ht="15" x14ac:dyDescent="0.2">
      <c r="A27" s="7">
        <v>10108</v>
      </c>
      <c r="B27" s="12">
        <v>10110</v>
      </c>
      <c r="C27" s="43">
        <f t="shared" si="0"/>
        <v>50</v>
      </c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</row>
    <row r="28" spans="1:25" ht="16" customHeight="1" x14ac:dyDescent="0.2">
      <c r="A28" s="7">
        <v>10102</v>
      </c>
      <c r="B28" s="12">
        <v>10104</v>
      </c>
      <c r="C28" s="43">
        <f t="shared" si="0"/>
        <v>-1</v>
      </c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</row>
    <row r="29" spans="1:25" ht="16" x14ac:dyDescent="0.2">
      <c r="A29" s="7">
        <v>10106</v>
      </c>
      <c r="B29" s="12">
        <v>10108</v>
      </c>
      <c r="C29" s="43">
        <f t="shared" si="0"/>
        <v>70</v>
      </c>
      <c r="G29" s="49" t="s">
        <v>183</v>
      </c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</row>
    <row r="30" spans="1:25" ht="16" x14ac:dyDescent="0.2">
      <c r="A30" s="7">
        <v>10102</v>
      </c>
      <c r="B30" s="12">
        <v>10106</v>
      </c>
      <c r="C30" s="43">
        <f t="shared" si="0"/>
        <v>90</v>
      </c>
      <c r="G30" s="49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</row>
    <row r="31" spans="1:25" ht="16" x14ac:dyDescent="0.2">
      <c r="A31" s="7">
        <v>10110</v>
      </c>
      <c r="B31" s="12">
        <v>10114</v>
      </c>
      <c r="C31" s="43">
        <f t="shared" si="0"/>
        <v>180</v>
      </c>
      <c r="G31" s="47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</row>
    <row r="32" spans="1:25" ht="16" x14ac:dyDescent="0.2">
      <c r="A32" s="7">
        <v>10104</v>
      </c>
      <c r="B32" s="12">
        <v>10106</v>
      </c>
      <c r="C32" s="43">
        <f t="shared" si="0"/>
        <v>60</v>
      </c>
      <c r="G32" s="47" t="s">
        <v>177</v>
      </c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</row>
    <row r="33" spans="1:25" ht="16" x14ac:dyDescent="0.2">
      <c r="A33" s="7">
        <v>10110</v>
      </c>
      <c r="B33" s="12">
        <v>10112</v>
      </c>
      <c r="C33" s="43">
        <f t="shared" si="0"/>
        <v>115</v>
      </c>
      <c r="G33" s="47" t="s">
        <v>178</v>
      </c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</row>
    <row r="34" spans="1:25" ht="16" x14ac:dyDescent="0.2">
      <c r="A34" s="7">
        <v>10100</v>
      </c>
      <c r="B34" s="12">
        <v>10114</v>
      </c>
      <c r="C34" s="43">
        <f t="shared" si="0"/>
        <v>480</v>
      </c>
      <c r="G34" s="47" t="s">
        <v>179</v>
      </c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</row>
    <row r="35" spans="1:25" ht="16" x14ac:dyDescent="0.2">
      <c r="A35" s="9">
        <v>10112</v>
      </c>
      <c r="B35" s="13">
        <v>10116</v>
      </c>
      <c r="C35" s="43">
        <f t="shared" si="0"/>
        <v>105</v>
      </c>
      <c r="G35" s="47" t="s">
        <v>180</v>
      </c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</row>
    <row r="36" spans="1:25" ht="16" x14ac:dyDescent="0.2">
      <c r="G36" s="47" t="s">
        <v>181</v>
      </c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</row>
    <row r="37" spans="1:25" ht="16" x14ac:dyDescent="0.2">
      <c r="G37" s="47" t="s">
        <v>182</v>
      </c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</row>
  </sheetData>
  <mergeCells count="1">
    <mergeCell ref="G27:Y2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Microsoft Office User</cp:lastModifiedBy>
  <dcterms:created xsi:type="dcterms:W3CDTF">2015-02-10T17:33:11Z</dcterms:created>
  <dcterms:modified xsi:type="dcterms:W3CDTF">2024-10-23T18:37:52Z</dcterms:modified>
</cp:coreProperties>
</file>